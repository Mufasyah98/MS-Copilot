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khrul Syahmi\Desktop\Excel Data Analytics\Data Analytics Tools\"/>
    </mc:Choice>
  </mc:AlternateContent>
  <xr:revisionPtr revIDLastSave="0" documentId="13_ncr:1_{26BAD8E0-C82F-4F63-A5BA-D2436C81010C}" xr6:coauthVersionLast="47" xr6:coauthVersionMax="47" xr10:uidLastSave="{00000000-0000-0000-0000-000000000000}"/>
  <bookViews>
    <workbookView xWindow="-108" yWindow="-108" windowWidth="23256" windowHeight="12456" activeTab="2" xr2:uid="{41587E04-3E44-4E9E-9602-AEC8422C020D}"/>
  </bookViews>
  <sheets>
    <sheet name="DT" sheetId="1" r:id="rId1"/>
    <sheet name="DT 2 way" sheetId="2" r:id="rId2"/>
    <sheet name="Goal Seek&amp;Scenario" sheetId="5" r:id="rId3"/>
    <sheet name="Forecast" sheetId="6" r:id="rId4"/>
    <sheet name="Data Validation" sheetId="8" r:id="rId5"/>
    <sheet name="Descriptive Statistic" sheetId="9" r:id="rId6"/>
    <sheet name="Rank &amp; Percentile" sheetId="10" r:id="rId7"/>
    <sheet name="Sheet7" sheetId="11" r:id="rId8"/>
  </sheets>
  <definedNames>
    <definedName name="solver_adj" localSheetId="2" hidden="1">'Goal Seek&amp;Scenario'!$C$41,'Goal Seek&amp;Scenario'!$C$42,'Goal Seek&amp;Scenario'!$C$43,'Goal Seek&amp;Scenario'!$C$44,'Goal Seek&amp;Scenario'!$C$45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'Goal Seek&amp;Scenario'!$C$41</definedName>
    <definedName name="solver_lhs2" localSheetId="2" hidden="1">'Goal Seek&amp;Scenario'!$C$42</definedName>
    <definedName name="solver_lhs3" localSheetId="2" hidden="1">'Goal Seek&amp;Scenario'!$C$42</definedName>
    <definedName name="solver_lhs4" localSheetId="2" hidden="1">'Goal Seek&amp;Scenario'!$C$43</definedName>
    <definedName name="solver_lhs5" localSheetId="2" hidden="1">'Goal Seek&amp;Scenario'!$C$44</definedName>
    <definedName name="solver_lhs6" localSheetId="2" hidden="1">'Goal Seek&amp;Scenario'!$C$45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nwt" localSheetId="2" hidden="1">1</definedName>
    <definedName name="solver_opt" localSheetId="2" hidden="1">'Goal Seek&amp;Scenario'!$C$46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1</definedName>
    <definedName name="solver_rel3" localSheetId="2" hidden="1">3</definedName>
    <definedName name="solver_rel4" localSheetId="2" hidden="1">3</definedName>
    <definedName name="solver_rel5" localSheetId="2" hidden="1">2</definedName>
    <definedName name="solver_rel6" localSheetId="2" hidden="1">3</definedName>
    <definedName name="solver_rhs1" localSheetId="2" hidden="1">30000</definedName>
    <definedName name="solver_rhs2" localSheetId="2" hidden="1">35000</definedName>
    <definedName name="solver_rhs3" localSheetId="2" hidden="1">25000</definedName>
    <definedName name="solver_rhs4" localSheetId="2" hidden="1">23000</definedName>
    <definedName name="solver_rhs5" localSheetId="2" hidden="1">35000</definedName>
    <definedName name="solver_rhs6" localSheetId="2" hidden="1">15000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100000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B14" i="1"/>
  <c r="B17" i="1"/>
  <c r="F12" i="1" s="1"/>
  <c r="B7" i="1"/>
  <c r="G3" i="1" s="1"/>
  <c r="C29" i="11"/>
  <c r="C28" i="11"/>
  <c r="C31" i="5" l="1"/>
  <c r="C32" i="5" s="1"/>
  <c r="C27" i="5"/>
  <c r="C11" i="5"/>
  <c r="C8" i="5"/>
  <c r="C13" i="5" l="1"/>
  <c r="C34" i="5"/>
</calcChain>
</file>

<file path=xl/sharedStrings.xml><?xml version="1.0" encoding="utf-8"?>
<sst xmlns="http://schemas.openxmlformats.org/spreadsheetml/2006/main" count="98" uniqueCount="91">
  <si>
    <t>Retirement Fund</t>
  </si>
  <si>
    <t>Monthly Payment (end of period)</t>
  </si>
  <si>
    <t>Years</t>
  </si>
  <si>
    <t>Return p.a.</t>
  </si>
  <si>
    <t>Your Future Fund Amount (FV)</t>
  </si>
  <si>
    <t>Korean Ramen Restaurant</t>
  </si>
  <si>
    <t>1. How many bowls should be sold to get a net profit of 50000?</t>
  </si>
  <si>
    <t>Bowl Sell</t>
  </si>
  <si>
    <t>2. How many mugs should be sold to make a profit of 100000?</t>
  </si>
  <si>
    <t>Price per bowl</t>
  </si>
  <si>
    <t>Profit</t>
  </si>
  <si>
    <t>Capital per bowl</t>
  </si>
  <si>
    <t>Total Capital</t>
  </si>
  <si>
    <t>Net Profit</t>
  </si>
  <si>
    <t>Exercise</t>
  </si>
  <si>
    <t>UNIT SOLD</t>
  </si>
  <si>
    <t>PRICE</t>
  </si>
  <si>
    <t>PROFIT</t>
  </si>
  <si>
    <t>FIXED COST</t>
  </si>
  <si>
    <t xml:space="preserve">COST PER UNIT </t>
  </si>
  <si>
    <t>TOTAL COST PER UNIT</t>
  </si>
  <si>
    <t>TOTAL COST</t>
  </si>
  <si>
    <t>NET PROFIT</t>
  </si>
  <si>
    <t>Year</t>
  </si>
  <si>
    <t>Total Sales</t>
  </si>
  <si>
    <t>Whole Number</t>
  </si>
  <si>
    <t>List</t>
  </si>
  <si>
    <t>Text Length</t>
  </si>
  <si>
    <t>Date</t>
  </si>
  <si>
    <t>Custom</t>
  </si>
  <si>
    <t>Country</t>
  </si>
  <si>
    <t>Malaysia</t>
  </si>
  <si>
    <t>India</t>
  </si>
  <si>
    <t>China</t>
  </si>
  <si>
    <t>England</t>
  </si>
  <si>
    <t>UK</t>
  </si>
  <si>
    <t>Australia</t>
  </si>
  <si>
    <t>Descriptive Statistics</t>
  </si>
  <si>
    <t>Hours studied</t>
  </si>
  <si>
    <t>Result 0-100</t>
  </si>
  <si>
    <t>GDP_In_Billion_USD</t>
  </si>
  <si>
    <t>Per_Capita_in_USD</t>
  </si>
  <si>
    <t xml:space="preserve">Percentage_Growth </t>
  </si>
  <si>
    <t>Histogram</t>
  </si>
  <si>
    <t>Customer</t>
  </si>
  <si>
    <t xml:space="preserve">Amount Spent $ </t>
  </si>
  <si>
    <t>Bin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</si>
  <si>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</si>
  <si>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</si>
  <si>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</si>
  <si>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</si>
  <si>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</si>
  <si>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</si>
  <si>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</si>
  <si>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</si>
  <si>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</si>
  <si>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</si>
  <si>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</si>
  <si>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</si>
  <si>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</si>
  <si>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</si>
  <si>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</si>
  <si>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</si>
  <si>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</si>
  <si>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</si>
  <si>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</si>
  <si>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</si>
  <si>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Minimum</t>
  </si>
  <si>
    <t>Example</t>
  </si>
  <si>
    <t>Maximum</t>
  </si>
  <si>
    <t>Car Price</t>
  </si>
  <si>
    <t>Deposit</t>
  </si>
  <si>
    <t>Loan Amount</t>
  </si>
  <si>
    <t>% Interest</t>
  </si>
  <si>
    <t>Period</t>
  </si>
  <si>
    <t>Monthly Payment</t>
  </si>
  <si>
    <t>Harga &lt;=30</t>
  </si>
  <si>
    <t>Modal &gt;=10</t>
  </si>
  <si>
    <t>Department</t>
  </si>
  <si>
    <t>Budget</t>
  </si>
  <si>
    <t>Request</t>
  </si>
  <si>
    <t>HR</t>
  </si>
  <si>
    <t>IT</t>
  </si>
  <si>
    <t>Finance</t>
  </si>
  <si>
    <t>Training</t>
  </si>
  <si>
    <t>Sales</t>
  </si>
  <si>
    <t>= 30 ribu</t>
  </si>
  <si>
    <t>25 k - 35k</t>
  </si>
  <si>
    <t>&gt;23k</t>
  </si>
  <si>
    <t>=35K</t>
  </si>
  <si>
    <t>&gt;15K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</si>
</sst>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£&quot;#,##0.00;[Red]\-&quot;£&quot;#,##0.00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&quot;$&quot;#,##0"/>
    <numFmt numFmtId="168" formatCode="&quot;💰&quot;"/>
    <numFmt numFmtId="169" formatCode="_(* #,##0_);_(* \(#,##0\);_(* &quot;-&quot;??_);_(@_)"/>
    <numFmt numFmtId="174" formatCode="&quot;Total💸&quot;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9" fillId="3" borderId="1" applyNumberFormat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4" fillId="0" borderId="0" xfId="0" applyFont="1"/>
    <xf numFmtId="9" fontId="0" fillId="0" borderId="0" xfId="2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/>
    <xf numFmtId="0" fontId="0" fillId="2" borderId="0" xfId="0" applyFill="1"/>
    <xf numFmtId="164" fontId="0" fillId="2" borderId="0" xfId="0" applyNumberFormat="1" applyFill="1"/>
    <xf numFmtId="9" fontId="0" fillId="0" borderId="0" xfId="0" applyNumberFormat="1"/>
    <xf numFmtId="10" fontId="0" fillId="0" borderId="0" xfId="0" applyNumberFormat="1"/>
    <xf numFmtId="166" fontId="0" fillId="0" borderId="0" xfId="0" applyNumberFormat="1"/>
    <xf numFmtId="168" fontId="5" fillId="0" borderId="0" xfId="0" applyNumberFormat="1" applyFont="1"/>
    <xf numFmtId="0" fontId="0" fillId="0" borderId="0" xfId="0" applyAlignment="1">
      <alignment horizontal="center"/>
    </xf>
    <xf numFmtId="0" fontId="0" fillId="0" borderId="2" xfId="0" applyBorder="1"/>
    <xf numFmtId="169" fontId="0" fillId="6" borderId="0" xfId="6" applyNumberFormat="1" applyFont="1" applyFill="1"/>
    <xf numFmtId="169" fontId="0" fillId="0" borderId="0" xfId="6" applyNumberFormat="1" applyFont="1"/>
    <xf numFmtId="169" fontId="0" fillId="7" borderId="0" xfId="6" applyNumberFormat="1" applyFont="1" applyFill="1"/>
    <xf numFmtId="0" fontId="9" fillId="3" borderId="2" xfId="7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0" fillId="4" borderId="2" xfId="8" applyFont="1" applyBorder="1" applyAlignment="1">
      <alignment horizontal="center"/>
    </xf>
    <xf numFmtId="165" fontId="0" fillId="0" borderId="0" xfId="1" applyFont="1"/>
    <xf numFmtId="8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174" fontId="0" fillId="0" borderId="0" xfId="0" applyNumberFormat="1"/>
    <xf numFmtId="0" fontId="0" fillId="0" borderId="0" xfId="0" quotePrefix="1"/>
  </cellXfs>
  <cellStyles count="9">
    <cellStyle name="60% - Accent2" xfId="8" builtinId="36"/>
    <cellStyle name="Calculation" xfId="7" builtinId="22"/>
    <cellStyle name="Comma" xfId="6" builtinId="3"/>
    <cellStyle name="Currency" xfId="1" builtinId="4"/>
    <cellStyle name="Hyperlink 2" xfId="4" xr:uid="{204C4BFE-B095-469A-99E6-2EEC499365F1}"/>
    <cellStyle name="Hyperlink 3" xfId="5" xr:uid="{F4643C70-9539-4E44-BC57-E192090D23EF}"/>
    <cellStyle name="Normal" xfId="0" builtinId="0"/>
    <cellStyle name="Normal 2" xfId="3" xr:uid="{E7C9D7BC-DC65-41C1-A7C8-9BC2DF2E8DA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601980</xdr:colOff>
      <xdr:row>18</xdr:row>
      <xdr:rowOff>129540</xdr:rowOff>
    </xdr:from>
    <xdr:ext cx="5173980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DAE5E4-0424-46FB-9143-12B9C6405A94}"/>
            </a:ext>
          </a:extLst>
        </xdr:cNvPr>
        <xdr:cNvSpPr txBox="1"/>
      </xdr:nvSpPr>
      <xdr:spPr>
        <a:xfrm>
          <a:off x="601980" y="3695700"/>
          <a:ext cx="5173980" cy="95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MY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You are a business owner and want to determine the minimum number of units you need to sell in order to achieve a desired profit. Your fixed costs are $5,000, and the cost per unit is $10. The selling price per unit is currently set at $20. Using the Goal Seek function in Excel, what is the minimum number of units you need to sell to reach a profit of $10,000?</a:t>
          </a:r>
          <a:endParaRPr lang="en-MY" sz="1100" b="0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6</xdr:row>
      <xdr:rowOff>45720</xdr:rowOff>
    </xdr:from>
    <xdr:to>
      <xdr:col>14</xdr:col>
      <xdr:colOff>657166</xdr:colOff>
      <xdr:row>51</xdr:row>
      <xdr:rowOff>191539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2233DA-9676-4023-84CA-352B43DCFF3E}"/>
            </a:ext>
          </a:extLst>
        </xdr:cNvPr>
        <xdr:cNvSpPr txBox="1"/>
      </xdr:nvSpPr>
      <xdr:spPr>
        <a:xfrm>
          <a:off x="6370320" y="1264920"/>
          <a:ext cx="4147126" cy="90612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 u="sng"/>
            <a:t>Descriptive</a:t>
          </a:r>
          <a:r>
            <a:rPr lang="en-GB" sz="1100" b="1" u="sng" baseline="0"/>
            <a:t> statistics</a:t>
          </a:r>
          <a:endParaRPr lang="en-GB" sz="1100" b="1" u="sng"/>
        </a:p>
        <a:p>
          <a:endParaRPr lang="en-GB" sz="1100"/>
        </a:p>
        <a:p>
          <a:r>
            <a:rPr lang="en-GB" sz="1100"/>
            <a:t>In a survey of customer satisfaction ratings, finding the </a:t>
          </a:r>
          <a:r>
            <a:rPr lang="en-GB" sz="1100" b="1"/>
            <a:t>mean</a:t>
          </a:r>
          <a:r>
            <a:rPr lang="en-GB" sz="1100"/>
            <a:t> (average) score can help identify the typical level of satisfaction, guiding improvements in products or services.</a:t>
          </a:r>
        </a:p>
        <a:p>
          <a:endParaRPr lang="en-GB" sz="1100"/>
        </a:p>
        <a:p>
          <a:r>
            <a:rPr lang="en-GB" sz="1100"/>
            <a:t>In medical research, </a:t>
          </a:r>
          <a:r>
            <a:rPr lang="en-GB" sz="1100" b="1"/>
            <a:t>standard error</a:t>
          </a:r>
          <a:r>
            <a:rPr lang="en-GB" sz="1100"/>
            <a:t> gauges data reliability, like assessing the precision of blood pressure measurements in a study for confident population representation.</a:t>
          </a:r>
        </a:p>
        <a:p>
          <a:endParaRPr lang="en-GB" sz="1100"/>
        </a:p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 be used to determine the typical salary in a company, where a few high earners might skew the average (mean) but the median provides a more representative value.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/>
            <a:t>In a survey of customer preferences for ice cream flavors, identifying the </a:t>
          </a:r>
          <a:r>
            <a:rPr lang="en-GB" sz="1100" b="1"/>
            <a:t>mode</a:t>
          </a:r>
          <a:r>
            <a:rPr lang="en-GB" sz="1100"/>
            <a:t> (most frequently chosen flavor) helps determine the most popular flavor, guiding marketing and production decisions.</a:t>
          </a:r>
        </a:p>
        <a:p>
          <a:endParaRPr lang="en-GB" sz="1100"/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Investment analysts use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deviation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measure how risky or stable different portfolios are. A lower standard deviation indicates a more stable investment option.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 variance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quantify the spread or variability of data points within a sample. For example, it can be applied in finance to assess the risk associated with different investment portfolios by measuring how returns deviate from their average, helping investors make informed decisions.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Kurtosis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in data analysis to assess the shape of a probability distribution. In a typical scenario, high kurtosis may indicate data with heavy tails, which can be valuable when assessing financial risk or outlier detection in datasets.</a:t>
          </a: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Skewness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 be useful in finance. For example, when analyzing stock returns, a positive skewness might suggest the potential for higher returns during positive market events, while a negative skewness could indicate higher risk during downturns. This information can aid investment decisions.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a manufacturing setting, the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(the difference between the maximum and minimum values) of product dimensions can help assess quality control. A narrow range suggests consistent product quality, while a wide range may indicate manufacturing variability that needs addressing.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a market research survey, a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confidence level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 be used to determine the reliability of survey results. For instance, a 95% confidence level means you can be 95% confident that the survey results represent the true population values, providing valuable insights for decision-making.</a:t>
          </a: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78D8-12F6-43C9-BC36-92FC5D633534}">
  <dimension ref="A1:J22"/>
  <sheetViews>
    <sheetView zoomScale="235" zoomScaleNormal="235" workbookViewId="0">
      <selection activeCell="B7" sqref="B7"/>
    </sheetView>
  </sheetViews>
  <sheetFormatPr defaultRowHeight="15.6"/>
  <cols>
    <col min="1" max="1" width="28.19921875" bestFit="1" customWidth="1"/>
    <col min="2" max="2" width="11.19921875" bestFit="1" customWidth="1"/>
    <col min="3" max="5" width="1.3984375" customWidth="1"/>
    <col min="6" max="6" width="9" bestFit="1" customWidth="1"/>
    <col min="7" max="7" width="11.19921875" customWidth="1"/>
    <col min="8" max="10" width="10.296875" bestFit="1" customWidth="1"/>
  </cols>
  <sheetData>
    <row r="1" spans="1:10" ht="18">
      <c r="A1" s="1" t="s">
        <v>0</v>
      </c>
      <c r="D1" s="6"/>
    </row>
    <row r="2" spans="1:10">
      <c r="D2" s="6"/>
      <c r="G2" s="11"/>
    </row>
    <row r="3" spans="1:10">
      <c r="A3" t="s">
        <v>1</v>
      </c>
      <c r="B3" s="4">
        <v>2432.8907254998926</v>
      </c>
      <c r="D3" s="6"/>
      <c r="F3" s="8"/>
      <c r="G3" s="10">
        <f>B7</f>
        <v>999999.99999999988</v>
      </c>
    </row>
    <row r="4" spans="1:10">
      <c r="A4" t="s">
        <v>2</v>
      </c>
      <c r="B4">
        <v>20</v>
      </c>
      <c r="D4" s="6"/>
      <c r="F4" s="26">
        <v>500</v>
      </c>
      <c r="G4" s="10">
        <f t="dataTable" ref="G4:G7" dt2D="0" dtr="0" r1="B3"/>
        <v>205516.83425784099</v>
      </c>
    </row>
    <row r="5" spans="1:10">
      <c r="A5" t="s">
        <v>3</v>
      </c>
      <c r="B5" s="2">
        <v>0.05</v>
      </c>
      <c r="D5" s="6"/>
      <c r="F5" s="26">
        <v>600</v>
      </c>
      <c r="G5" s="10">
        <v>246620.20110940919</v>
      </c>
    </row>
    <row r="6" spans="1:10">
      <c r="D6" s="6"/>
      <c r="F6" s="26">
        <v>700</v>
      </c>
      <c r="G6" s="10">
        <v>287723.56796097738</v>
      </c>
    </row>
    <row r="7" spans="1:10">
      <c r="A7" s="5" t="s">
        <v>4</v>
      </c>
      <c r="B7" s="3">
        <f>FV(B5/12,B4*12,-B3,0)</f>
        <v>999999.99999999988</v>
      </c>
      <c r="D7" s="6"/>
      <c r="F7" s="26">
        <v>800</v>
      </c>
      <c r="G7" s="10">
        <v>328826.9348125456</v>
      </c>
    </row>
    <row r="8" spans="1:10">
      <c r="D8" s="6"/>
      <c r="F8" s="26"/>
      <c r="G8" s="10"/>
    </row>
    <row r="9" spans="1:10">
      <c r="D9" s="6"/>
      <c r="F9" s="26"/>
      <c r="G9" s="10"/>
    </row>
    <row r="10" spans="1:10">
      <c r="D10" s="7"/>
      <c r="F10" s="26"/>
      <c r="G10" s="10"/>
    </row>
    <row r="11" spans="1:10">
      <c r="D11" s="6"/>
      <c r="F11" s="8"/>
      <c r="G11" s="10"/>
    </row>
    <row r="12" spans="1:10">
      <c r="A12" t="s">
        <v>70</v>
      </c>
      <c r="B12">
        <v>220000</v>
      </c>
      <c r="D12" s="6"/>
      <c r="F12" s="30">
        <f>B17</f>
        <v>2616.2334129614314</v>
      </c>
      <c r="G12" s="29">
        <v>0.03</v>
      </c>
      <c r="H12" s="29">
        <v>3.2500000000000001E-2</v>
      </c>
      <c r="I12" s="29">
        <v>3.5000000000000003E-2</v>
      </c>
      <c r="J12" s="29">
        <v>3.6499999999999998E-2</v>
      </c>
    </row>
    <row r="13" spans="1:10">
      <c r="A13" t="s">
        <v>71</v>
      </c>
      <c r="B13">
        <v>22000</v>
      </c>
      <c r="D13" s="6"/>
      <c r="F13" s="28">
        <v>5</v>
      </c>
      <c r="G13" s="26">
        <f t="dataTable" ref="G13:J16" dt2D="1" dtr="1" r1="B15" r2="B16"/>
        <v>3557.8007514845017</v>
      </c>
      <c r="H13" s="26">
        <v>3579.8404574986744</v>
      </c>
      <c r="I13" s="26">
        <v>3601.9655041107676</v>
      </c>
      <c r="J13" s="26">
        <v>3615.2814697139838</v>
      </c>
    </row>
    <row r="14" spans="1:10">
      <c r="A14" t="s">
        <v>72</v>
      </c>
      <c r="B14">
        <f>B12-B13</f>
        <v>198000</v>
      </c>
      <c r="D14" s="6"/>
      <c r="F14" s="28">
        <v>7</v>
      </c>
      <c r="G14" s="26">
        <v>2616.2334129614314</v>
      </c>
      <c r="H14" s="26">
        <v>2638.602323257192</v>
      </c>
      <c r="I14" s="26">
        <v>2661.0904248710667</v>
      </c>
      <c r="J14" s="26">
        <v>2674.6404417641584</v>
      </c>
    </row>
    <row r="15" spans="1:10">
      <c r="A15" t="s">
        <v>73</v>
      </c>
      <c r="B15" s="8">
        <v>0.03</v>
      </c>
      <c r="D15" s="6"/>
      <c r="F15" s="28">
        <v>9</v>
      </c>
      <c r="G15" s="26">
        <v>2094.2341894496562</v>
      </c>
      <c r="H15" s="26">
        <v>2116.9747528558596</v>
      </c>
      <c r="I15" s="26">
        <v>2139.8680552797837</v>
      </c>
      <c r="J15" s="26">
        <v>2153.6772460365009</v>
      </c>
    </row>
    <row r="16" spans="1:10">
      <c r="A16" t="s">
        <v>74</v>
      </c>
      <c r="B16">
        <v>7</v>
      </c>
      <c r="D16" s="6"/>
      <c r="F16" s="28">
        <v>10</v>
      </c>
      <c r="G16" s="26">
        <v>1911.9027450281126</v>
      </c>
      <c r="H16" s="26">
        <v>1934.836773510674</v>
      </c>
      <c r="I16" s="26">
        <v>1957.940175745686</v>
      </c>
      <c r="J16" s="26">
        <v>1971.883377368915</v>
      </c>
    </row>
    <row r="17" spans="1:7">
      <c r="A17" t="s">
        <v>75</v>
      </c>
      <c r="B17" s="27">
        <f>PMT(B15/12,B16*12,-B14,0)</f>
        <v>2616.2334129614314</v>
      </c>
      <c r="D17" s="6"/>
      <c r="F17" s="8"/>
      <c r="G17" s="10"/>
    </row>
    <row r="18" spans="1:7">
      <c r="D18" s="6"/>
      <c r="F18" s="9"/>
      <c r="G18" s="10"/>
    </row>
    <row r="19" spans="1:7">
      <c r="D19" s="6"/>
      <c r="F19" s="8"/>
      <c r="G19" s="10"/>
    </row>
    <row r="20" spans="1:7">
      <c r="D20" s="6"/>
      <c r="F20" s="9"/>
    </row>
    <row r="21" spans="1:7">
      <c r="D21" s="6"/>
      <c r="F21" s="8"/>
    </row>
    <row r="22" spans="1:7">
      <c r="D2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4F04-179E-4FCD-9BBA-2748636C9BF5}">
  <dimension ref="A1:M22"/>
  <sheetViews>
    <sheetView zoomScale="110" zoomScaleNormal="110" workbookViewId="0">
      <selection activeCell="J10" sqref="J10"/>
    </sheetView>
  </sheetViews>
  <sheetFormatPr defaultRowHeight="15.6"/>
  <cols>
    <col min="1" max="1" width="28.19921875" bestFit="1" customWidth="1"/>
    <col min="2" max="2" width="9.09765625" bestFit="1" customWidth="1"/>
    <col min="3" max="5" width="1" customWidth="1"/>
    <col min="7" max="7" width="11.19921875" customWidth="1"/>
    <col min="10" max="13" width="9.69921875" bestFit="1" customWidth="1"/>
  </cols>
  <sheetData>
    <row r="1" spans="1:13" ht="18">
      <c r="A1" s="1" t="s">
        <v>0</v>
      </c>
      <c r="D1" s="6"/>
    </row>
    <row r="2" spans="1:13">
      <c r="D2" s="6"/>
      <c r="F2" s="11"/>
    </row>
    <row r="3" spans="1:13">
      <c r="A3" t="s">
        <v>1</v>
      </c>
      <c r="B3" s="4"/>
      <c r="D3" s="6"/>
      <c r="F3" s="8"/>
      <c r="G3" s="10"/>
      <c r="H3" s="10"/>
      <c r="I3" s="10"/>
      <c r="J3" s="10"/>
      <c r="K3" s="10"/>
      <c r="L3" s="10"/>
      <c r="M3" s="10"/>
    </row>
    <row r="4" spans="1:13">
      <c r="A4" t="s">
        <v>2</v>
      </c>
      <c r="D4" s="6"/>
      <c r="F4" s="9"/>
      <c r="G4" s="10"/>
      <c r="H4" s="10"/>
      <c r="I4" s="10"/>
      <c r="J4" s="10"/>
      <c r="K4" s="10"/>
      <c r="L4" s="10"/>
      <c r="M4" s="10"/>
    </row>
    <row r="5" spans="1:13">
      <c r="A5" t="s">
        <v>3</v>
      </c>
      <c r="B5" s="2"/>
      <c r="D5" s="6"/>
      <c r="F5" s="8"/>
      <c r="G5" s="10"/>
      <c r="H5" s="10"/>
      <c r="I5" s="10"/>
      <c r="J5" s="10"/>
      <c r="K5" s="10"/>
      <c r="L5" s="10"/>
      <c r="M5" s="10"/>
    </row>
    <row r="6" spans="1:13">
      <c r="D6" s="6"/>
      <c r="F6" s="9"/>
      <c r="G6" s="10"/>
      <c r="H6" s="10"/>
      <c r="I6" s="10"/>
      <c r="J6" s="10"/>
      <c r="K6" s="10"/>
      <c r="L6" s="10"/>
      <c r="M6" s="10"/>
    </row>
    <row r="7" spans="1:13">
      <c r="A7" s="5" t="s">
        <v>4</v>
      </c>
      <c r="B7" s="3"/>
      <c r="D7" s="6"/>
      <c r="F7" s="8"/>
      <c r="G7" s="10"/>
      <c r="H7" s="10"/>
      <c r="I7" s="10"/>
      <c r="J7" s="10"/>
      <c r="K7" s="10"/>
      <c r="L7" s="10"/>
      <c r="M7" s="10"/>
    </row>
    <row r="8" spans="1:13">
      <c r="D8" s="6"/>
      <c r="F8" s="9"/>
      <c r="G8" s="10"/>
      <c r="H8" s="10"/>
      <c r="I8" s="10"/>
      <c r="J8" s="10"/>
      <c r="K8" s="10"/>
      <c r="L8" s="10"/>
      <c r="M8" s="10"/>
    </row>
    <row r="9" spans="1:13">
      <c r="D9" s="6"/>
      <c r="F9" s="8"/>
      <c r="G9" s="10"/>
      <c r="H9" s="10"/>
      <c r="I9" s="10"/>
      <c r="J9" s="10"/>
      <c r="K9" s="10"/>
      <c r="L9" s="10"/>
      <c r="M9" s="10"/>
    </row>
    <row r="10" spans="1:13">
      <c r="D10" s="7"/>
      <c r="F10" s="9"/>
      <c r="G10" s="10"/>
      <c r="H10" s="10"/>
      <c r="I10" s="10"/>
      <c r="J10" s="10"/>
      <c r="K10" s="10"/>
      <c r="L10" s="10"/>
      <c r="M10" s="10"/>
    </row>
    <row r="11" spans="1:13">
      <c r="D11" s="6"/>
      <c r="F11" s="8"/>
      <c r="G11" s="10"/>
      <c r="H11" s="10"/>
      <c r="I11" s="10"/>
      <c r="J11" s="10"/>
      <c r="K11" s="10"/>
      <c r="L11" s="10"/>
      <c r="M11" s="10"/>
    </row>
    <row r="12" spans="1:13">
      <c r="D12" s="6"/>
      <c r="F12" s="9"/>
      <c r="G12" s="10"/>
      <c r="H12" s="10"/>
      <c r="I12" s="10"/>
      <c r="J12" s="10"/>
      <c r="K12" s="10"/>
      <c r="L12" s="10"/>
      <c r="M12" s="10"/>
    </row>
    <row r="13" spans="1:13">
      <c r="D13" s="6"/>
      <c r="F13" s="8"/>
      <c r="G13" s="10"/>
      <c r="H13" s="10"/>
      <c r="I13" s="10"/>
      <c r="J13" s="10"/>
      <c r="K13" s="10"/>
      <c r="L13" s="10"/>
      <c r="M13" s="10"/>
    </row>
    <row r="14" spans="1:13">
      <c r="D14" s="6"/>
      <c r="F14" s="9"/>
      <c r="G14" s="10"/>
      <c r="H14" s="10"/>
      <c r="I14" s="10"/>
      <c r="J14" s="10"/>
      <c r="K14" s="10"/>
      <c r="L14" s="10"/>
      <c r="M14" s="10"/>
    </row>
    <row r="15" spans="1:13">
      <c r="D15" s="6"/>
      <c r="F15" s="8"/>
      <c r="G15" s="10"/>
      <c r="H15" s="10"/>
      <c r="I15" s="10"/>
      <c r="J15" s="10"/>
      <c r="K15" s="10"/>
      <c r="L15" s="10"/>
      <c r="M15" s="10"/>
    </row>
    <row r="16" spans="1:13">
      <c r="D16" s="6"/>
      <c r="F16" s="9"/>
      <c r="G16" s="10"/>
      <c r="H16" s="10"/>
      <c r="I16" s="10"/>
      <c r="J16" s="10"/>
      <c r="K16" s="10"/>
      <c r="L16" s="10"/>
      <c r="M16" s="10"/>
    </row>
    <row r="17" spans="4:13">
      <c r="D17" s="6"/>
      <c r="F17" s="8"/>
      <c r="G17" s="10"/>
      <c r="H17" s="10"/>
      <c r="I17" s="10"/>
      <c r="J17" s="10"/>
      <c r="K17" s="10"/>
      <c r="L17" s="10"/>
      <c r="M17" s="10"/>
    </row>
    <row r="18" spans="4:13">
      <c r="D18" s="6"/>
      <c r="F18" s="9"/>
      <c r="G18" s="10"/>
      <c r="H18" s="10"/>
      <c r="I18" s="10"/>
      <c r="J18" s="10"/>
      <c r="K18" s="10"/>
      <c r="L18" s="10"/>
      <c r="M18" s="10"/>
    </row>
    <row r="19" spans="4:13">
      <c r="D19" s="6"/>
      <c r="F19" s="8"/>
      <c r="G19" s="10"/>
      <c r="H19" s="10"/>
      <c r="I19" s="10"/>
      <c r="J19" s="10"/>
      <c r="K19" s="10"/>
      <c r="L19" s="10"/>
      <c r="M19" s="10"/>
    </row>
    <row r="20" spans="4:13">
      <c r="D20" s="6"/>
      <c r="F20" s="9"/>
    </row>
    <row r="21" spans="4:13">
      <c r="D21" s="6"/>
      <c r="F21" s="8"/>
    </row>
    <row r="22" spans="4:13">
      <c r="D22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4222-CD9E-45A6-BCE0-596BDF2505F1}">
  <dimension ref="B4:E46"/>
  <sheetViews>
    <sheetView tabSelected="1" topLeftCell="A37" zoomScale="160" zoomScaleNormal="160" workbookViewId="0">
      <selection activeCell="H47" sqref="H47"/>
    </sheetView>
  </sheetViews>
  <sheetFormatPr defaultRowHeight="15.6"/>
  <cols>
    <col min="2" max="2" width="23.09765625" bestFit="1" customWidth="1"/>
    <col min="3" max="3" width="10.09765625" bestFit="1" customWidth="1"/>
  </cols>
  <sheetData>
    <row r="4" spans="2:5">
      <c r="B4" s="5" t="s">
        <v>5</v>
      </c>
    </row>
    <row r="5" spans="2:5">
      <c r="E5" t="s">
        <v>6</v>
      </c>
    </row>
    <row r="6" spans="2:5">
      <c r="B6" t="s">
        <v>7</v>
      </c>
      <c r="C6" s="14">
        <v>2500</v>
      </c>
      <c r="E6" t="s">
        <v>8</v>
      </c>
    </row>
    <row r="7" spans="2:5">
      <c r="B7" t="s">
        <v>9</v>
      </c>
      <c r="C7" s="15">
        <v>30</v>
      </c>
    </row>
    <row r="8" spans="2:5">
      <c r="B8" t="s">
        <v>10</v>
      </c>
      <c r="C8" s="15">
        <f>C6*C7</f>
        <v>75000</v>
      </c>
      <c r="E8" t="s">
        <v>76</v>
      </c>
    </row>
    <row r="9" spans="2:5">
      <c r="C9" s="15"/>
      <c r="E9" t="s">
        <v>77</v>
      </c>
    </row>
    <row r="10" spans="2:5">
      <c r="B10" t="s">
        <v>11</v>
      </c>
      <c r="C10" s="15">
        <v>10</v>
      </c>
    </row>
    <row r="11" spans="2:5">
      <c r="B11" t="s">
        <v>12</v>
      </c>
      <c r="C11" s="15">
        <f>C10*C6</f>
        <v>25000</v>
      </c>
    </row>
    <row r="12" spans="2:5">
      <c r="C12" s="15"/>
    </row>
    <row r="13" spans="2:5">
      <c r="B13" t="s">
        <v>13</v>
      </c>
      <c r="C13" s="16">
        <f>C8-C11</f>
        <v>50000</v>
      </c>
    </row>
    <row r="17" spans="2:3">
      <c r="B17" s="24" t="s">
        <v>14</v>
      </c>
    </row>
    <row r="18" spans="2:3">
      <c r="B18" s="24"/>
    </row>
    <row r="25" spans="2:3">
      <c r="B25" s="13" t="s">
        <v>15</v>
      </c>
      <c r="C25" s="13">
        <v>1000</v>
      </c>
    </row>
    <row r="26" spans="2:3">
      <c r="B26" s="13" t="s">
        <v>16</v>
      </c>
      <c r="C26" s="13">
        <v>20</v>
      </c>
    </row>
    <row r="27" spans="2:3">
      <c r="B27" s="13" t="s">
        <v>17</v>
      </c>
      <c r="C27" s="13">
        <f>C25*C26</f>
        <v>20000</v>
      </c>
    </row>
    <row r="28" spans="2:3">
      <c r="B28" s="13"/>
      <c r="C28" s="13"/>
    </row>
    <row r="29" spans="2:3">
      <c r="B29" s="13" t="s">
        <v>18</v>
      </c>
      <c r="C29" s="13">
        <v>5000</v>
      </c>
    </row>
    <row r="30" spans="2:3">
      <c r="B30" s="13" t="s">
        <v>19</v>
      </c>
      <c r="C30" s="13">
        <v>10</v>
      </c>
    </row>
    <row r="31" spans="2:3">
      <c r="B31" s="13" t="s">
        <v>20</v>
      </c>
      <c r="C31" s="13">
        <f>C30*C25</f>
        <v>10000</v>
      </c>
    </row>
    <row r="32" spans="2:3">
      <c r="B32" s="13" t="s">
        <v>21</v>
      </c>
      <c r="C32" s="13">
        <f>C29+C31</f>
        <v>15000</v>
      </c>
    </row>
    <row r="33" spans="2:4">
      <c r="B33" s="13"/>
      <c r="C33" s="13"/>
    </row>
    <row r="34" spans="2:4">
      <c r="B34" s="13" t="s">
        <v>22</v>
      </c>
      <c r="C34" s="13">
        <f>C27-C32</f>
        <v>5000</v>
      </c>
    </row>
    <row r="40" spans="2:4">
      <c r="B40" t="s">
        <v>78</v>
      </c>
      <c r="C40" t="s">
        <v>79</v>
      </c>
      <c r="D40" t="s">
        <v>80</v>
      </c>
    </row>
    <row r="41" spans="2:4">
      <c r="B41" t="s">
        <v>81</v>
      </c>
      <c r="C41">
        <v>30000</v>
      </c>
      <c r="D41" s="31" t="s">
        <v>86</v>
      </c>
    </row>
    <row r="42" spans="2:4">
      <c r="B42" t="s">
        <v>82</v>
      </c>
      <c r="C42">
        <v>25000</v>
      </c>
      <c r="D42" t="s">
        <v>87</v>
      </c>
    </row>
    <row r="43" spans="2:4">
      <c r="B43" t="s">
        <v>83</v>
      </c>
      <c r="C43">
        <v>23000</v>
      </c>
      <c r="D43" t="s">
        <v>88</v>
      </c>
    </row>
    <row r="44" spans="2:4">
      <c r="B44" t="s">
        <v>84</v>
      </c>
      <c r="C44">
        <v>35000</v>
      </c>
      <c r="D44" s="31" t="s">
        <v>89</v>
      </c>
    </row>
    <row r="45" spans="2:4">
      <c r="B45" t="s">
        <v>85</v>
      </c>
      <c r="C45">
        <v>15000</v>
      </c>
      <c r="D45" t="s">
        <v>90</v>
      </c>
    </row>
    <row r="46" spans="2:4">
      <c r="C46">
        <f>SUM(C41:C45)</f>
        <v>128000</v>
      </c>
    </row>
  </sheetData>
  <mergeCells count="1">
    <mergeCell ref="B17:B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20E6-5C4A-42E1-BCBB-7FACB480FFD6}">
  <dimension ref="B5:C15"/>
  <sheetViews>
    <sheetView workbookViewId="0">
      <selection activeCell="G17" sqref="G17"/>
    </sheetView>
  </sheetViews>
  <sheetFormatPr defaultRowHeight="15.6"/>
  <cols>
    <col min="2" max="2" width="9.5" bestFit="1" customWidth="1"/>
  </cols>
  <sheetData>
    <row r="5" spans="2:3">
      <c r="B5" s="17" t="s">
        <v>23</v>
      </c>
      <c r="C5" s="17" t="s">
        <v>24</v>
      </c>
    </row>
    <row r="6" spans="2:3">
      <c r="B6" s="18">
        <v>45505</v>
      </c>
      <c r="C6" s="12">
        <v>865</v>
      </c>
    </row>
    <row r="7" spans="2:3">
      <c r="B7" s="18">
        <v>45506</v>
      </c>
      <c r="C7" s="12">
        <v>625</v>
      </c>
    </row>
    <row r="8" spans="2:3">
      <c r="B8" s="18">
        <v>45507</v>
      </c>
      <c r="C8" s="12">
        <v>761</v>
      </c>
    </row>
    <row r="9" spans="2:3">
      <c r="B9" s="18">
        <v>45508</v>
      </c>
      <c r="C9" s="12">
        <v>957</v>
      </c>
    </row>
    <row r="10" spans="2:3">
      <c r="B10" s="18">
        <v>45509</v>
      </c>
      <c r="C10" s="12">
        <v>892</v>
      </c>
    </row>
    <row r="11" spans="2:3">
      <c r="B11" s="18">
        <v>45510</v>
      </c>
      <c r="C11" s="12">
        <v>631</v>
      </c>
    </row>
    <row r="12" spans="2:3">
      <c r="B12" s="18">
        <v>45511</v>
      </c>
      <c r="C12" s="12">
        <v>632</v>
      </c>
    </row>
    <row r="13" spans="2:3">
      <c r="B13" s="18">
        <v>45512</v>
      </c>
      <c r="C13" s="12">
        <v>934</v>
      </c>
    </row>
    <row r="14" spans="2:3">
      <c r="B14" s="18">
        <v>45513</v>
      </c>
      <c r="C14" s="12">
        <v>715</v>
      </c>
    </row>
    <row r="15" spans="2:3">
      <c r="B15" s="18">
        <v>45514</v>
      </c>
      <c r="C15" s="12">
        <v>856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CC58-47F9-49F8-8FC2-E068E4828878}">
  <dimension ref="C4:I10"/>
  <sheetViews>
    <sheetView workbookViewId="0">
      <selection activeCell="L6" sqref="L6"/>
    </sheetView>
  </sheetViews>
  <sheetFormatPr defaultRowHeight="15.6"/>
  <cols>
    <col min="3" max="3" width="13.796875" bestFit="1" customWidth="1"/>
    <col min="5" max="5" width="10.59765625" bestFit="1" customWidth="1"/>
  </cols>
  <sheetData>
    <row r="4" spans="3:9">
      <c r="C4" s="19" t="s">
        <v>25</v>
      </c>
      <c r="D4" s="19" t="s">
        <v>26</v>
      </c>
      <c r="E4" s="19" t="s">
        <v>27</v>
      </c>
      <c r="F4" s="19" t="s">
        <v>28</v>
      </c>
      <c r="G4" s="19" t="s">
        <v>29</v>
      </c>
      <c r="I4" s="19" t="s">
        <v>30</v>
      </c>
    </row>
    <row r="5" spans="3:9">
      <c r="C5" s="13"/>
      <c r="D5" s="13"/>
      <c r="E5" s="13"/>
      <c r="F5" s="13"/>
      <c r="G5" s="13"/>
      <c r="I5" s="13" t="s">
        <v>31</v>
      </c>
    </row>
    <row r="6" spans="3:9">
      <c r="C6" s="13"/>
      <c r="D6" s="13"/>
      <c r="E6" s="13"/>
      <c r="F6" s="13"/>
      <c r="G6" s="13"/>
      <c r="I6" s="13" t="s">
        <v>32</v>
      </c>
    </row>
    <row r="7" spans="3:9">
      <c r="C7" s="13"/>
      <c r="D7" s="13"/>
      <c r="E7" s="13"/>
      <c r="F7" s="13"/>
      <c r="G7" s="13"/>
      <c r="I7" s="13" t="s">
        <v>33</v>
      </c>
    </row>
    <row r="8" spans="3:9">
      <c r="C8" s="13"/>
      <c r="D8" s="13"/>
      <c r="E8" s="13"/>
      <c r="F8" s="13"/>
      <c r="G8" s="13"/>
      <c r="I8" s="13" t="s">
        <v>34</v>
      </c>
    </row>
    <row r="9" spans="3:9">
      <c r="C9" s="13"/>
      <c r="D9" s="13"/>
      <c r="E9" s="13"/>
      <c r="F9" s="13"/>
      <c r="G9" s="13"/>
      <c r="I9" s="13" t="s">
        <v>35</v>
      </c>
    </row>
    <row r="10" spans="3:9">
      <c r="C10" s="13"/>
      <c r="D10" s="13"/>
      <c r="E10" s="13"/>
      <c r="F10" s="13"/>
      <c r="G10" s="13"/>
      <c r="I10" s="1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7B63-A9CA-4A5A-9A58-83480C53CA54}">
  <dimension ref="C6:H33"/>
  <sheetViews>
    <sheetView topLeftCell="A6" workbookViewId="0">
      <selection activeCell="R17" sqref="R17"/>
    </sheetView>
  </sheetViews>
  <sheetFormatPr defaultRowHeight="15.6"/>
  <cols>
    <col min="3" max="3" width="12.59765625" bestFit="1" customWidth="1"/>
    <col min="4" max="4" width="11.19921875" bestFit="1" customWidth="1"/>
  </cols>
  <sheetData>
    <row r="6" spans="3:8" ht="18">
      <c r="C6" s="25" t="s">
        <v>37</v>
      </c>
      <c r="D6" s="25"/>
      <c r="E6" s="25"/>
      <c r="F6" s="25"/>
      <c r="G6" s="25"/>
      <c r="H6" s="25"/>
    </row>
    <row r="7" spans="3:8">
      <c r="C7" s="12"/>
      <c r="D7" s="12"/>
      <c r="E7" s="12"/>
      <c r="F7" s="12"/>
      <c r="G7" s="12"/>
      <c r="H7" s="12"/>
    </row>
    <row r="8" spans="3:8">
      <c r="C8" s="12"/>
      <c r="D8" s="12"/>
      <c r="E8" s="12"/>
      <c r="F8" s="12"/>
      <c r="G8" s="12"/>
      <c r="H8" s="12"/>
    </row>
    <row r="9" spans="3:8">
      <c r="C9" s="20" t="s">
        <v>38</v>
      </c>
      <c r="D9" s="20" t="s">
        <v>39</v>
      </c>
      <c r="E9" s="12"/>
    </row>
    <row r="10" spans="3:8">
      <c r="C10" s="12">
        <v>12</v>
      </c>
      <c r="D10" s="12">
        <v>93</v>
      </c>
      <c r="E10" s="12"/>
    </row>
    <row r="11" spans="3:8">
      <c r="C11" s="12">
        <v>9</v>
      </c>
      <c r="D11" s="12">
        <v>87</v>
      </c>
      <c r="E11" s="12"/>
    </row>
    <row r="12" spans="3:8">
      <c r="C12" s="12">
        <v>6</v>
      </c>
      <c r="D12" s="12">
        <v>64</v>
      </c>
      <c r="E12" s="12"/>
    </row>
    <row r="13" spans="3:8">
      <c r="C13" s="12">
        <v>8</v>
      </c>
      <c r="D13" s="12">
        <v>72</v>
      </c>
      <c r="E13" s="12"/>
    </row>
    <row r="14" spans="3:8">
      <c r="C14" s="12">
        <v>8</v>
      </c>
      <c r="D14" s="12">
        <v>79</v>
      </c>
      <c r="E14" s="12"/>
    </row>
    <row r="15" spans="3:8">
      <c r="C15" s="12">
        <v>7</v>
      </c>
      <c r="D15" s="12">
        <v>81</v>
      </c>
      <c r="E15" s="12"/>
    </row>
    <row r="16" spans="3:8">
      <c r="C16" s="12">
        <v>10</v>
      </c>
      <c r="D16" s="12">
        <v>87</v>
      </c>
      <c r="E16" s="12"/>
    </row>
    <row r="17" spans="3:8">
      <c r="C17" s="12">
        <v>11</v>
      </c>
      <c r="D17" s="12">
        <v>96</v>
      </c>
      <c r="E17" s="12"/>
    </row>
    <row r="18" spans="3:8">
      <c r="C18" s="12">
        <v>6</v>
      </c>
      <c r="D18" s="12">
        <v>58</v>
      </c>
      <c r="E18" s="12"/>
    </row>
    <row r="19" spans="3:8">
      <c r="C19" s="12">
        <v>11</v>
      </c>
      <c r="D19" s="12">
        <v>89</v>
      </c>
      <c r="E19" s="12"/>
    </row>
    <row r="20" spans="3:8">
      <c r="C20" s="12">
        <v>4</v>
      </c>
      <c r="D20" s="12">
        <v>55</v>
      </c>
      <c r="E20" s="12"/>
    </row>
    <row r="21" spans="3:8">
      <c r="C21" s="12">
        <v>1</v>
      </c>
      <c r="D21" s="12">
        <v>57</v>
      </c>
      <c r="E21" s="12"/>
    </row>
    <row r="22" spans="3:8">
      <c r="C22" s="12">
        <v>8</v>
      </c>
      <c r="D22" s="12">
        <v>69</v>
      </c>
      <c r="E22" s="12"/>
    </row>
    <row r="23" spans="3:8">
      <c r="C23" s="12">
        <v>8</v>
      </c>
      <c r="D23" s="12">
        <v>73</v>
      </c>
      <c r="E23" s="12"/>
    </row>
    <row r="24" spans="3:8">
      <c r="C24" s="12">
        <v>11</v>
      </c>
      <c r="D24" s="12">
        <v>82</v>
      </c>
      <c r="E24" s="12"/>
    </row>
    <row r="25" spans="3:8">
      <c r="C25" s="12">
        <v>5</v>
      </c>
      <c r="D25" s="12">
        <v>65</v>
      </c>
      <c r="E25" s="12"/>
    </row>
    <row r="26" spans="3:8">
      <c r="C26" s="12">
        <v>3</v>
      </c>
      <c r="D26" s="12">
        <v>41</v>
      </c>
      <c r="E26" s="12"/>
    </row>
    <row r="27" spans="3:8">
      <c r="C27" s="12">
        <v>7</v>
      </c>
      <c r="D27" s="12">
        <v>70</v>
      </c>
      <c r="E27" s="12"/>
    </row>
    <row r="28" spans="3:8">
      <c r="C28" s="12">
        <v>8</v>
      </c>
      <c r="D28" s="12">
        <v>84</v>
      </c>
      <c r="E28" s="12"/>
    </row>
    <row r="29" spans="3:8">
      <c r="C29" s="12">
        <v>6</v>
      </c>
      <c r="D29" s="12">
        <v>63</v>
      </c>
      <c r="E29" s="12"/>
      <c r="H29" s="12"/>
    </row>
    <row r="30" spans="3:8">
      <c r="C30" s="12">
        <v>2</v>
      </c>
      <c r="D30" s="12">
        <v>61</v>
      </c>
      <c r="E30" s="12"/>
      <c r="H30" s="12"/>
    </row>
    <row r="31" spans="3:8">
      <c r="C31" s="12">
        <v>1</v>
      </c>
      <c r="D31" s="12">
        <v>59</v>
      </c>
      <c r="E31" s="12"/>
      <c r="H31" s="12"/>
    </row>
    <row r="32" spans="3:8">
      <c r="C32" s="12">
        <v>4</v>
      </c>
      <c r="D32" s="12">
        <v>60</v>
      </c>
      <c r="E32" s="12"/>
      <c r="F32" s="12"/>
      <c r="G32" s="12"/>
      <c r="H32" s="12"/>
    </row>
    <row r="33" spans="3:8">
      <c r="C33" s="12">
        <v>12</v>
      </c>
      <c r="D33" s="12">
        <v>96</v>
      </c>
      <c r="E33" s="12"/>
      <c r="F33" s="12"/>
      <c r="G33" s="12"/>
      <c r="H33" s="12"/>
    </row>
  </sheetData>
  <mergeCells count="1">
    <mergeCell ref="C6:H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8380-4560-4A71-A2F4-62CED85DC554}">
  <dimension ref="B3:E64"/>
  <sheetViews>
    <sheetView workbookViewId="0">
      <selection activeCell="B3" sqref="B3:E64"/>
    </sheetView>
  </sheetViews>
  <sheetFormatPr defaultRowHeight="15.6"/>
  <cols>
    <col min="3" max="3" width="17.8984375" bestFit="1" customWidth="1"/>
    <col min="4" max="4" width="17.19921875" bestFit="1" customWidth="1"/>
    <col min="5" max="5" width="18.09765625" bestFit="1" customWidth="1"/>
  </cols>
  <sheetData>
    <row r="3" spans="2:5">
      <c r="B3" s="20" t="s">
        <v>23</v>
      </c>
      <c r="C3" s="20" t="s">
        <v>40</v>
      </c>
      <c r="D3" s="20" t="s">
        <v>41</v>
      </c>
      <c r="E3" s="20" t="s">
        <v>42</v>
      </c>
    </row>
    <row r="4" spans="2:5">
      <c r="B4" s="12">
        <v>2021</v>
      </c>
      <c r="C4" s="12">
        <v>3173.4</v>
      </c>
      <c r="D4" s="12">
        <v>2277</v>
      </c>
      <c r="E4" s="12">
        <v>8.9499999999999993</v>
      </c>
    </row>
    <row r="5" spans="2:5">
      <c r="B5" s="12">
        <v>2020</v>
      </c>
      <c r="C5" s="12">
        <v>2667.69</v>
      </c>
      <c r="D5" s="12">
        <v>1933</v>
      </c>
      <c r="E5" s="12">
        <v>-6.6</v>
      </c>
    </row>
    <row r="6" spans="2:5">
      <c r="B6" s="12">
        <v>2019</v>
      </c>
      <c r="C6" s="12">
        <v>2831.55</v>
      </c>
      <c r="D6" s="12">
        <v>2072</v>
      </c>
      <c r="E6" s="12">
        <v>3.74</v>
      </c>
    </row>
    <row r="7" spans="2:5">
      <c r="B7" s="12">
        <v>2018</v>
      </c>
      <c r="C7" s="12">
        <v>2702.93</v>
      </c>
      <c r="D7" s="12">
        <v>1998</v>
      </c>
      <c r="E7" s="12">
        <v>6.45</v>
      </c>
    </row>
    <row r="8" spans="2:5">
      <c r="B8" s="12">
        <v>2017</v>
      </c>
      <c r="C8" s="12">
        <v>2651.47</v>
      </c>
      <c r="D8" s="12">
        <v>1981</v>
      </c>
      <c r="E8" s="12">
        <v>6.8</v>
      </c>
    </row>
    <row r="9" spans="2:5">
      <c r="B9" s="12">
        <v>2016</v>
      </c>
      <c r="C9" s="12">
        <v>2294.8000000000002</v>
      </c>
      <c r="D9" s="12">
        <v>1733</v>
      </c>
      <c r="E9" s="12">
        <v>8.26</v>
      </c>
    </row>
    <row r="10" spans="2:5">
      <c r="B10" s="12">
        <v>2015</v>
      </c>
      <c r="C10" s="12">
        <v>2103.59</v>
      </c>
      <c r="D10" s="12">
        <v>1606</v>
      </c>
      <c r="E10" s="12">
        <v>8</v>
      </c>
    </row>
    <row r="11" spans="2:5">
      <c r="B11" s="12">
        <v>2014</v>
      </c>
      <c r="C11" s="12">
        <v>2039.13</v>
      </c>
      <c r="D11" s="12">
        <v>1574</v>
      </c>
      <c r="E11" s="12">
        <v>7.41</v>
      </c>
    </row>
    <row r="12" spans="2:5">
      <c r="B12" s="12">
        <v>2013</v>
      </c>
      <c r="C12" s="12">
        <v>1856.72</v>
      </c>
      <c r="D12" s="12">
        <v>1450</v>
      </c>
      <c r="E12" s="12">
        <v>6.39</v>
      </c>
    </row>
    <row r="13" spans="2:5">
      <c r="B13" s="12">
        <v>2012</v>
      </c>
      <c r="C13" s="12">
        <v>1827.64</v>
      </c>
      <c r="D13" s="12">
        <v>1444</v>
      </c>
      <c r="E13" s="12">
        <v>5.46</v>
      </c>
    </row>
    <row r="14" spans="2:5">
      <c r="B14" s="12">
        <v>2011</v>
      </c>
      <c r="C14" s="12">
        <v>1823.05</v>
      </c>
      <c r="D14" s="12">
        <v>1458</v>
      </c>
      <c r="E14" s="12">
        <v>5.24</v>
      </c>
    </row>
    <row r="15" spans="2:5">
      <c r="B15" s="12">
        <v>2010</v>
      </c>
      <c r="C15" s="12">
        <v>1675.62</v>
      </c>
      <c r="D15" s="12">
        <v>1358</v>
      </c>
      <c r="E15" s="12">
        <v>8.5</v>
      </c>
    </row>
    <row r="16" spans="2:5">
      <c r="B16" s="12">
        <v>2009</v>
      </c>
      <c r="C16" s="12">
        <v>1341.89</v>
      </c>
      <c r="D16" s="12">
        <v>1102</v>
      </c>
      <c r="E16" s="12">
        <v>7.86</v>
      </c>
    </row>
    <row r="17" spans="2:5">
      <c r="B17" s="12">
        <v>2008</v>
      </c>
      <c r="C17" s="12">
        <v>1198.9000000000001</v>
      </c>
      <c r="D17" s="12">
        <v>999</v>
      </c>
      <c r="E17" s="12">
        <v>3.09</v>
      </c>
    </row>
    <row r="18" spans="2:5">
      <c r="B18" s="12">
        <v>2007</v>
      </c>
      <c r="C18" s="12">
        <v>1216.74</v>
      </c>
      <c r="D18" s="12">
        <v>1028</v>
      </c>
      <c r="E18" s="12">
        <v>7.66</v>
      </c>
    </row>
    <row r="19" spans="2:5">
      <c r="B19" s="12">
        <v>2006</v>
      </c>
      <c r="C19" s="12">
        <v>940.26</v>
      </c>
      <c r="D19" s="12">
        <v>807</v>
      </c>
      <c r="E19" s="12">
        <v>8.06</v>
      </c>
    </row>
    <row r="20" spans="2:5">
      <c r="B20" s="12">
        <v>2005</v>
      </c>
      <c r="C20" s="12">
        <v>820.38</v>
      </c>
      <c r="D20" s="12">
        <v>715</v>
      </c>
      <c r="E20" s="12">
        <v>7.92</v>
      </c>
    </row>
    <row r="21" spans="2:5">
      <c r="B21" s="12">
        <v>2004</v>
      </c>
      <c r="C21" s="12">
        <v>709.15</v>
      </c>
      <c r="D21" s="12">
        <v>628</v>
      </c>
      <c r="E21" s="12">
        <v>7.92</v>
      </c>
    </row>
    <row r="22" spans="2:5">
      <c r="B22" s="12">
        <v>2003</v>
      </c>
      <c r="C22" s="12">
        <v>607.70000000000005</v>
      </c>
      <c r="D22" s="12">
        <v>547</v>
      </c>
      <c r="E22" s="12">
        <v>7.86</v>
      </c>
    </row>
    <row r="23" spans="2:5">
      <c r="B23" s="12">
        <v>2002</v>
      </c>
      <c r="C23" s="12">
        <v>514.94000000000005</v>
      </c>
      <c r="D23" s="12">
        <v>471</v>
      </c>
      <c r="E23" s="12">
        <v>3.8</v>
      </c>
    </row>
    <row r="24" spans="2:5">
      <c r="B24" s="12">
        <v>2001</v>
      </c>
      <c r="C24" s="12">
        <v>485.44</v>
      </c>
      <c r="D24" s="12">
        <v>452</v>
      </c>
      <c r="E24" s="12">
        <v>4.82</v>
      </c>
    </row>
    <row r="25" spans="2:5">
      <c r="B25" s="12">
        <v>2000</v>
      </c>
      <c r="C25" s="12">
        <v>468.39</v>
      </c>
      <c r="D25" s="12">
        <v>443</v>
      </c>
      <c r="E25" s="12">
        <v>3.84</v>
      </c>
    </row>
    <row r="26" spans="2:5">
      <c r="B26" s="12">
        <v>1999</v>
      </c>
      <c r="C26" s="12">
        <v>458.82</v>
      </c>
      <c r="D26" s="12">
        <v>442</v>
      </c>
      <c r="E26" s="12">
        <v>8.85</v>
      </c>
    </row>
    <row r="27" spans="2:5">
      <c r="B27" s="12">
        <v>1998</v>
      </c>
      <c r="C27" s="12">
        <v>421.35</v>
      </c>
      <c r="D27" s="12">
        <v>413</v>
      </c>
      <c r="E27" s="12">
        <v>6.18</v>
      </c>
    </row>
    <row r="28" spans="2:5">
      <c r="B28" s="12">
        <v>1997</v>
      </c>
      <c r="C28" s="12">
        <v>415.87</v>
      </c>
      <c r="D28" s="12">
        <v>415</v>
      </c>
      <c r="E28" s="12">
        <v>4.05</v>
      </c>
    </row>
    <row r="29" spans="2:5">
      <c r="B29" s="12">
        <v>1996</v>
      </c>
      <c r="C29" s="12">
        <v>392.9</v>
      </c>
      <c r="D29" s="12">
        <v>400</v>
      </c>
      <c r="E29" s="12">
        <v>7.55</v>
      </c>
    </row>
    <row r="30" spans="2:5">
      <c r="B30" s="12">
        <v>1995</v>
      </c>
      <c r="C30" s="12">
        <v>360.28</v>
      </c>
      <c r="D30" s="12">
        <v>374</v>
      </c>
      <c r="E30" s="12">
        <v>7.57</v>
      </c>
    </row>
    <row r="31" spans="2:5">
      <c r="B31" s="12">
        <v>1994</v>
      </c>
      <c r="C31" s="12">
        <v>327.27999999999997</v>
      </c>
      <c r="D31" s="12">
        <v>346</v>
      </c>
      <c r="E31" s="12">
        <v>6.66</v>
      </c>
    </row>
    <row r="32" spans="2:5">
      <c r="B32" s="12">
        <v>1993</v>
      </c>
      <c r="C32" s="12">
        <v>279.3</v>
      </c>
      <c r="D32" s="12">
        <v>301</v>
      </c>
      <c r="E32" s="12">
        <v>4.75</v>
      </c>
    </row>
    <row r="33" spans="2:5">
      <c r="B33" s="12">
        <v>1992</v>
      </c>
      <c r="C33" s="12">
        <v>288.20999999999998</v>
      </c>
      <c r="D33" s="12">
        <v>317</v>
      </c>
      <c r="E33" s="12">
        <v>5.48</v>
      </c>
    </row>
    <row r="34" spans="2:5">
      <c r="B34" s="12">
        <v>1991</v>
      </c>
      <c r="C34" s="12">
        <v>270.11</v>
      </c>
      <c r="D34" s="12">
        <v>303</v>
      </c>
      <c r="E34" s="12">
        <v>1.06</v>
      </c>
    </row>
    <row r="35" spans="2:5">
      <c r="B35" s="12">
        <v>1990</v>
      </c>
      <c r="C35" s="12">
        <v>320.98</v>
      </c>
      <c r="D35" s="12">
        <v>368</v>
      </c>
      <c r="E35" s="12">
        <v>5.53</v>
      </c>
    </row>
    <row r="36" spans="2:5">
      <c r="B36" s="12">
        <v>1989</v>
      </c>
      <c r="C36" s="12">
        <v>296.04000000000002</v>
      </c>
      <c r="D36" s="12">
        <v>346</v>
      </c>
      <c r="E36" s="12">
        <v>5.95</v>
      </c>
    </row>
    <row r="37" spans="2:5">
      <c r="B37" s="12">
        <v>1988</v>
      </c>
      <c r="C37" s="12">
        <v>296.58999999999997</v>
      </c>
      <c r="D37" s="12">
        <v>354</v>
      </c>
      <c r="E37" s="12">
        <v>9.6300000000000008</v>
      </c>
    </row>
    <row r="38" spans="2:5">
      <c r="B38" s="12">
        <v>1987</v>
      </c>
      <c r="C38" s="12">
        <v>279.02999999999997</v>
      </c>
      <c r="D38" s="12">
        <v>340</v>
      </c>
      <c r="E38" s="12">
        <v>3.97</v>
      </c>
    </row>
    <row r="39" spans="2:5">
      <c r="B39" s="12">
        <v>1986</v>
      </c>
      <c r="C39" s="12">
        <v>248.99</v>
      </c>
      <c r="D39" s="12">
        <v>310</v>
      </c>
      <c r="E39" s="12">
        <v>4.78</v>
      </c>
    </row>
    <row r="40" spans="2:5">
      <c r="B40" s="12">
        <v>1985</v>
      </c>
      <c r="C40" s="12">
        <v>232.51</v>
      </c>
      <c r="D40" s="12">
        <v>296</v>
      </c>
      <c r="E40" s="12">
        <v>5.25</v>
      </c>
    </row>
    <row r="41" spans="2:5">
      <c r="B41" s="12">
        <v>1984</v>
      </c>
      <c r="C41" s="12">
        <v>212.16</v>
      </c>
      <c r="D41" s="12">
        <v>277</v>
      </c>
      <c r="E41" s="12">
        <v>3.82</v>
      </c>
    </row>
    <row r="42" spans="2:5">
      <c r="B42" s="12">
        <v>1983</v>
      </c>
      <c r="C42" s="12">
        <v>218.26</v>
      </c>
      <c r="D42" s="12">
        <v>291</v>
      </c>
      <c r="E42" s="12">
        <v>7.29</v>
      </c>
    </row>
    <row r="43" spans="2:5">
      <c r="B43" s="12">
        <v>1982</v>
      </c>
      <c r="C43" s="12">
        <v>200.72</v>
      </c>
      <c r="D43" s="12">
        <v>274</v>
      </c>
      <c r="E43" s="12">
        <v>3.48</v>
      </c>
    </row>
    <row r="44" spans="2:5">
      <c r="B44" s="12">
        <v>1981</v>
      </c>
      <c r="C44" s="12">
        <v>193.49</v>
      </c>
      <c r="D44" s="12">
        <v>270</v>
      </c>
      <c r="E44" s="12">
        <v>6.01</v>
      </c>
    </row>
    <row r="45" spans="2:5">
      <c r="B45" s="12">
        <v>1980</v>
      </c>
      <c r="C45" s="12">
        <v>186.33</v>
      </c>
      <c r="D45" s="12">
        <v>267</v>
      </c>
      <c r="E45" s="12">
        <v>6.74</v>
      </c>
    </row>
    <row r="46" spans="2:5">
      <c r="B46" s="12">
        <v>1979</v>
      </c>
      <c r="C46" s="12">
        <v>152.99</v>
      </c>
      <c r="D46" s="12">
        <v>224</v>
      </c>
      <c r="E46" s="12">
        <v>-5.24</v>
      </c>
    </row>
    <row r="47" spans="2:5">
      <c r="B47" s="12">
        <v>1978</v>
      </c>
      <c r="C47" s="12">
        <v>137.30000000000001</v>
      </c>
      <c r="D47" s="12">
        <v>206</v>
      </c>
      <c r="E47" s="12">
        <v>5.71</v>
      </c>
    </row>
    <row r="48" spans="2:5">
      <c r="B48" s="12">
        <v>1977</v>
      </c>
      <c r="C48" s="12">
        <v>121.49</v>
      </c>
      <c r="D48" s="12">
        <v>186</v>
      </c>
      <c r="E48" s="12">
        <v>7.25</v>
      </c>
    </row>
    <row r="49" spans="2:5">
      <c r="B49" s="12">
        <v>1976</v>
      </c>
      <c r="C49" s="12">
        <v>102.72</v>
      </c>
      <c r="D49" s="12">
        <v>161</v>
      </c>
      <c r="E49" s="12">
        <v>1.66</v>
      </c>
    </row>
    <row r="50" spans="2:5">
      <c r="B50" s="12">
        <v>1975</v>
      </c>
      <c r="C50" s="12">
        <v>98.47</v>
      </c>
      <c r="D50" s="12">
        <v>158</v>
      </c>
      <c r="E50" s="12">
        <v>9.15</v>
      </c>
    </row>
    <row r="51" spans="2:5">
      <c r="B51" s="12">
        <v>1974</v>
      </c>
      <c r="C51" s="12">
        <v>99.53</v>
      </c>
      <c r="D51" s="12">
        <v>163</v>
      </c>
      <c r="E51" s="12">
        <v>1.19</v>
      </c>
    </row>
    <row r="52" spans="2:5">
      <c r="B52" s="12">
        <v>1973</v>
      </c>
      <c r="C52" s="12">
        <v>85.52</v>
      </c>
      <c r="D52" s="12">
        <v>144</v>
      </c>
      <c r="E52" s="12">
        <v>3.3</v>
      </c>
    </row>
    <row r="53" spans="2:5">
      <c r="B53" s="12">
        <v>1972</v>
      </c>
      <c r="C53" s="12">
        <v>71.459999999999994</v>
      </c>
      <c r="D53" s="12">
        <v>123</v>
      </c>
      <c r="E53" s="12">
        <v>-0.55000000000000004</v>
      </c>
    </row>
    <row r="54" spans="2:5">
      <c r="B54" s="12">
        <v>1971</v>
      </c>
      <c r="C54" s="12">
        <v>67.349999999999994</v>
      </c>
      <c r="D54" s="12">
        <v>119</v>
      </c>
      <c r="E54" s="12">
        <v>1.64</v>
      </c>
    </row>
    <row r="55" spans="2:5">
      <c r="B55" s="12">
        <v>1970</v>
      </c>
      <c r="C55" s="12">
        <v>62.42</v>
      </c>
      <c r="D55" s="12">
        <v>112</v>
      </c>
      <c r="E55" s="12">
        <v>5.16</v>
      </c>
    </row>
    <row r="56" spans="2:5">
      <c r="B56" s="12">
        <v>1969</v>
      </c>
      <c r="C56" s="12">
        <v>58.45</v>
      </c>
      <c r="D56" s="12">
        <v>108</v>
      </c>
      <c r="E56" s="12">
        <v>6.54</v>
      </c>
    </row>
    <row r="57" spans="2:5">
      <c r="B57" s="12">
        <v>1968</v>
      </c>
      <c r="C57" s="12">
        <v>53.09</v>
      </c>
      <c r="D57" s="12">
        <v>100</v>
      </c>
      <c r="E57" s="12">
        <v>3.39</v>
      </c>
    </row>
    <row r="58" spans="2:5">
      <c r="B58" s="12">
        <v>1967</v>
      </c>
      <c r="C58" s="12">
        <v>50.13</v>
      </c>
      <c r="D58" s="12">
        <v>96</v>
      </c>
      <c r="E58" s="12">
        <v>7.83</v>
      </c>
    </row>
    <row r="59" spans="2:5">
      <c r="B59" s="12">
        <v>1966</v>
      </c>
      <c r="C59" s="12">
        <v>45.87</v>
      </c>
      <c r="D59" s="12">
        <v>90</v>
      </c>
      <c r="E59" s="12">
        <v>-0.06</v>
      </c>
    </row>
    <row r="60" spans="2:5">
      <c r="B60" s="12">
        <v>1965</v>
      </c>
      <c r="C60" s="12">
        <v>59.55</v>
      </c>
      <c r="D60" s="12">
        <v>119</v>
      </c>
      <c r="E60" s="12">
        <v>-2.64</v>
      </c>
    </row>
    <row r="61" spans="2:5">
      <c r="B61" s="12">
        <v>1964</v>
      </c>
      <c r="C61" s="12">
        <v>56.48</v>
      </c>
      <c r="D61" s="12">
        <v>116</v>
      </c>
      <c r="E61" s="12">
        <v>7.45</v>
      </c>
    </row>
    <row r="62" spans="2:5">
      <c r="B62" s="12">
        <v>1963</v>
      </c>
      <c r="C62" s="12">
        <v>48.42</v>
      </c>
      <c r="D62" s="12">
        <v>101</v>
      </c>
      <c r="E62" s="12">
        <v>5.99</v>
      </c>
    </row>
    <row r="63" spans="2:5">
      <c r="B63" s="12">
        <v>1962</v>
      </c>
      <c r="C63" s="12">
        <v>42.16</v>
      </c>
      <c r="D63" s="12">
        <v>90</v>
      </c>
      <c r="E63" s="12">
        <v>2.93</v>
      </c>
    </row>
    <row r="64" spans="2:5">
      <c r="B64" s="12">
        <v>1961</v>
      </c>
      <c r="C64" s="12">
        <v>39.229999999999997</v>
      </c>
      <c r="D64" s="12">
        <v>85</v>
      </c>
      <c r="E64" s="12">
        <v>3.72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8662-6BDF-4985-8D65-AB702443E3EB}">
  <dimension ref="B3:G34"/>
  <sheetViews>
    <sheetView topLeftCell="A4" workbookViewId="0">
      <selection activeCell="H12" sqref="H12"/>
    </sheetView>
  </sheetViews>
  <sheetFormatPr defaultRowHeight="15.6"/>
  <cols>
    <col min="2" max="2" width="11.5" bestFit="1" customWidth="1"/>
    <col min="3" max="3" width="15.09765625" bestFit="1" customWidth="1"/>
  </cols>
  <sheetData>
    <row r="3" spans="2:7">
      <c r="B3" s="12"/>
      <c r="C3" s="12"/>
      <c r="D3" s="12"/>
      <c r="E3" s="12"/>
      <c r="F3" s="12"/>
      <c r="G3" s="12"/>
    </row>
    <row r="4" spans="2:7" ht="18">
      <c r="B4" s="25" t="s">
        <v>43</v>
      </c>
      <c r="C4" s="25"/>
      <c r="D4" s="25"/>
      <c r="E4" s="25"/>
      <c r="F4" s="25"/>
      <c r="G4" s="25"/>
    </row>
    <row r="5" spans="2:7">
      <c r="B5" s="12"/>
      <c r="C5" s="12"/>
      <c r="D5" s="12"/>
      <c r="E5" s="12"/>
      <c r="F5" s="12"/>
    </row>
    <row r="6" spans="2:7">
      <c r="B6" s="20" t="s">
        <v>44</v>
      </c>
      <c r="C6" s="20" t="s">
        <v>45</v>
      </c>
      <c r="D6" s="12"/>
      <c r="E6" s="20" t="s">
        <v>46</v>
      </c>
    </row>
    <row r="7" spans="2:7">
      <c r="B7" s="12" t="s">
        <v>47</v>
      </c>
      <c r="C7" s="21">
        <v>10.062868129520554</v>
      </c>
      <c r="D7" s="12"/>
      <c r="E7" s="22">
        <v>10</v>
      </c>
    </row>
    <row r="8" spans="2:7">
      <c r="B8" s="12" t="s">
        <v>48</v>
      </c>
      <c r="C8" s="21">
        <v>25.917844172490618</v>
      </c>
      <c r="D8" s="12"/>
      <c r="E8" s="22">
        <v>12</v>
      </c>
    </row>
    <row r="9" spans="2:7">
      <c r="B9" s="12" t="s">
        <v>49</v>
      </c>
      <c r="C9" s="21">
        <v>21.031220435193944</v>
      </c>
      <c r="D9" s="12"/>
      <c r="E9" s="22">
        <v>14</v>
      </c>
    </row>
    <row r="10" spans="2:7">
      <c r="B10" s="12" t="s">
        <v>50</v>
      </c>
      <c r="C10" s="21">
        <v>25.229346598712119</v>
      </c>
      <c r="D10" s="12"/>
      <c r="E10" s="22">
        <v>16</v>
      </c>
    </row>
    <row r="11" spans="2:7">
      <c r="B11" s="12" t="s">
        <v>51</v>
      </c>
      <c r="C11" s="21">
        <v>21.315042573320717</v>
      </c>
      <c r="D11" s="12"/>
      <c r="E11" s="22">
        <v>18</v>
      </c>
    </row>
    <row r="12" spans="2:7">
      <c r="B12" s="12" t="s">
        <v>52</v>
      </c>
      <c r="C12" s="21">
        <v>25.134128849147007</v>
      </c>
      <c r="D12" s="12"/>
      <c r="E12" s="22">
        <v>20</v>
      </c>
    </row>
    <row r="13" spans="2:7">
      <c r="B13" s="12" t="s">
        <v>53</v>
      </c>
      <c r="C13" s="21">
        <v>13.099459822382276</v>
      </c>
      <c r="D13" s="12"/>
      <c r="E13" s="22">
        <v>22</v>
      </c>
    </row>
    <row r="14" spans="2:7">
      <c r="B14" s="12" t="s">
        <v>54</v>
      </c>
      <c r="C14" s="21">
        <v>13.972289193395795</v>
      </c>
      <c r="D14" s="12"/>
      <c r="E14" s="22">
        <v>24</v>
      </c>
    </row>
    <row r="15" spans="2:7">
      <c r="B15" s="12" t="s">
        <v>55</v>
      </c>
      <c r="C15" s="21">
        <v>17.936033204138312</v>
      </c>
      <c r="D15" s="12"/>
      <c r="E15" s="22">
        <v>26</v>
      </c>
    </row>
    <row r="16" spans="2:7">
      <c r="B16" s="12" t="s">
        <v>56</v>
      </c>
      <c r="C16" s="21">
        <v>13.634754478591265</v>
      </c>
      <c r="D16" s="12"/>
      <c r="E16" s="22">
        <v>28</v>
      </c>
    </row>
    <row r="17" spans="2:7">
      <c r="B17" s="12" t="s">
        <v>57</v>
      </c>
      <c r="C17" s="21">
        <v>11.767021698660237</v>
      </c>
      <c r="D17" s="12"/>
      <c r="E17" s="12"/>
    </row>
    <row r="18" spans="2:7">
      <c r="B18" s="12" t="s">
        <v>58</v>
      </c>
      <c r="C18" s="21">
        <v>27.689138462477491</v>
      </c>
      <c r="D18" s="12"/>
      <c r="E18" s="12"/>
      <c r="F18" s="12"/>
    </row>
    <row r="19" spans="2:7">
      <c r="B19" s="12" t="s">
        <v>59</v>
      </c>
      <c r="C19" s="21">
        <v>20.947599719229714</v>
      </c>
      <c r="D19" s="12"/>
      <c r="F19" s="12"/>
    </row>
    <row r="20" spans="2:7">
      <c r="B20" s="12" t="s">
        <v>60</v>
      </c>
      <c r="C20" s="21">
        <v>12.152775658436841</v>
      </c>
      <c r="D20" s="12"/>
      <c r="F20" s="12"/>
    </row>
    <row r="21" spans="2:7">
      <c r="B21" s="12" t="s">
        <v>61</v>
      </c>
      <c r="C21" s="21">
        <v>13.435163426618244</v>
      </c>
      <c r="D21" s="12"/>
      <c r="F21" s="12"/>
      <c r="G21" s="12"/>
    </row>
    <row r="22" spans="2:7">
      <c r="B22" s="12" t="s">
        <v>62</v>
      </c>
      <c r="C22" s="21">
        <v>11.364177373577075</v>
      </c>
      <c r="D22" s="12"/>
      <c r="F22" s="12"/>
      <c r="G22" s="12"/>
    </row>
    <row r="23" spans="2:7">
      <c r="B23" s="12" t="s">
        <v>63</v>
      </c>
      <c r="C23" s="21">
        <v>22.827539902951138</v>
      </c>
      <c r="D23" s="12"/>
      <c r="F23" s="12"/>
      <c r="G23" s="12"/>
    </row>
    <row r="24" spans="2:7">
      <c r="B24" s="12" t="s">
        <v>64</v>
      </c>
      <c r="C24" s="21">
        <v>10.960112308114871</v>
      </c>
      <c r="D24" s="12"/>
      <c r="F24" s="12"/>
      <c r="G24" s="12"/>
    </row>
    <row r="25" spans="2:7">
      <c r="B25" s="12" t="s">
        <v>65</v>
      </c>
      <c r="C25" s="21">
        <v>14.176763206884976</v>
      </c>
      <c r="D25" s="12"/>
      <c r="F25" s="12"/>
      <c r="G25" s="12"/>
    </row>
    <row r="26" spans="2:7">
      <c r="B26" s="12" t="s">
        <v>66</v>
      </c>
      <c r="C26" s="21">
        <v>26.126590777306436</v>
      </c>
      <c r="D26" s="12"/>
      <c r="F26" s="12"/>
      <c r="G26" s="12"/>
    </row>
    <row r="27" spans="2:7">
      <c r="B27" s="12"/>
      <c r="C27" s="12"/>
      <c r="D27" s="12"/>
      <c r="F27" s="12"/>
      <c r="G27" s="12"/>
    </row>
    <row r="28" spans="2:7">
      <c r="B28" s="20" t="s">
        <v>67</v>
      </c>
      <c r="C28" s="23">
        <f>MIN(C7:C26)</f>
        <v>10.062868129520554</v>
      </c>
      <c r="D28" s="12"/>
      <c r="E28" s="20" t="s">
        <v>68</v>
      </c>
      <c r="F28" s="12"/>
    </row>
    <row r="29" spans="2:7">
      <c r="B29" s="20" t="s">
        <v>69</v>
      </c>
      <c r="C29" s="23">
        <f>MAX(C7:C26)</f>
        <v>27.689138462477491</v>
      </c>
      <c r="D29" s="12"/>
      <c r="E29" s="20" t="s">
        <v>46</v>
      </c>
      <c r="F29" s="12"/>
    </row>
    <row r="30" spans="2:7">
      <c r="B30" s="12"/>
      <c r="C30" s="12"/>
      <c r="D30" s="12"/>
      <c r="E30" s="22">
        <v>14</v>
      </c>
      <c r="F30" s="12"/>
    </row>
    <row r="31" spans="2:7">
      <c r="B31" s="12"/>
      <c r="C31" s="12"/>
      <c r="D31" s="12"/>
      <c r="E31" s="22">
        <v>18</v>
      </c>
      <c r="F31" s="12"/>
    </row>
    <row r="32" spans="2:7">
      <c r="B32" s="12"/>
      <c r="C32" s="12"/>
      <c r="D32" s="12"/>
      <c r="E32" s="22">
        <v>22</v>
      </c>
      <c r="F32" s="12"/>
    </row>
    <row r="33" spans="2:6">
      <c r="B33" s="12"/>
      <c r="C33" s="12"/>
      <c r="D33" s="12"/>
      <c r="E33" s="22">
        <v>26</v>
      </c>
      <c r="F33" s="12"/>
    </row>
    <row r="34" spans="2:6">
      <c r="B34" s="12"/>
      <c r="C34" s="12"/>
      <c r="D34" s="12"/>
      <c r="E34" s="22">
        <v>30</v>
      </c>
      <c r="F34" s="12"/>
    </row>
  </sheetData>
  <mergeCells count="1">
    <mergeCell ref="B4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7" ma:contentTypeDescription="Create a new document." ma:contentTypeScope="" ma:versionID="dc823f716a3a9bc4dd251b7513e4c14c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89de9affb5f399bf6d14bfd99ca40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Props1.xml><?xml version="1.0" encoding="utf-8"?>
<ds:datastoreItem xmlns:ds="http://schemas.openxmlformats.org/officeDocument/2006/customXml" ds:itemID="{6B4DA9FF-1ECE-41E3-B7DD-E61E21281B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32B742-0165-4600-87C2-DB9C5E5DDA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A858B2-1151-4060-BC21-F82DBC07A06A}">
  <ds:schemaRefs>
    <ds:schemaRef ds:uri="http://schemas.microsoft.com/office/2006/metadata/properties"/>
    <ds:schemaRef ds:uri="http://schemas.microsoft.com/office/infopath/2007/PartnerControls"/>
    <ds:schemaRef ds:uri="8602ebc8-99ea-4c12-aabd-36e02eea0ec4"/>
    <ds:schemaRef ds:uri="8ea0a048-5e79-414d-a984-5fa877d558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DT</vt:lpstr>
      <vt:lpstr>DT 2 way</vt:lpstr>
      <vt:lpstr>Goal Seek&amp;Scenario</vt:lpstr>
      <vt:lpstr>Forecast</vt:lpstr>
      <vt:lpstr>Data Validation</vt:lpstr>
      <vt:lpstr>Descriptive Statistic</vt:lpstr>
      <vt:lpstr>Rank &amp; Percentile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FAKHRUL SYAHMI BIN ROZANIZAM</dc:creator>
  <cp:lastModifiedBy>Fakhrul Syahmi</cp:lastModifiedBy>
  <dcterms:created xsi:type="dcterms:W3CDTF">2022-11-25T14:11:59Z</dcterms:created>
  <dcterms:modified xsi:type="dcterms:W3CDTF">2026-03-03T02:54:10Z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